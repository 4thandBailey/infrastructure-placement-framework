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3-Year TCO Model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<sst xmlns="http://schemas.openxmlformats.org/spreadsheetml/2006/main" count="103" uniqueCount="97">
  <si>
    <t xml:space="preserve">3-Year TCO Model — Cloud vs On-Premises</t>
  </si>
  <si>
    <t xml:space="preserve">Infrastructure Placement Framework · 4th and Bailey · Module 2 · v1.0.0</t>
  </si>
  <si>
    <t xml:space="preserve">GENERAL ASSUMPTIONS</t>
  </si>
  <si>
    <t xml:space="preserve">Organisation name</t>
  </si>
  <si>
    <t xml:space="preserve">ENTER ORGANISATION NAME</t>
  </si>
  <si>
    <t xml:space="preserve">Workload / project name</t>
  </si>
  <si>
    <t xml:space="preserve">ENTER WORKLOAD NAME</t>
  </si>
  <si>
    <t xml:space="preserve">Assessment date</t>
  </si>
  <si>
    <t xml:space="preserve">May 2026</t>
  </si>
  <si>
    <t xml:space="preserve">Analysis period (years)</t>
  </si>
  <si>
    <t xml:space="preserve">Annual cost inflation rate</t>
  </si>
  <si>
    <t xml:space="preserve">CLOUD COSTS (ANNUAL — YEAR 1)</t>
  </si>
  <si>
    <t xml:space="preserve">  Compute (VMs / containers / functions)</t>
  </si>
  <si>
    <t xml:space="preserve">  Storage (block, object, file)</t>
  </si>
  <si>
    <t xml:space="preserve">  Database (managed DB services)</t>
  </si>
  <si>
    <t xml:space="preserve">  Network — egress and data transfer</t>
  </si>
  <si>
    <t xml:space="preserve">  Security and compliance services</t>
  </si>
  <si>
    <t xml:space="preserve">  Backup and DR (cloud-native)</t>
  </si>
  <si>
    <t xml:space="preserve">  Support plan</t>
  </si>
  <si>
    <t xml:space="preserve">  SaaS licences (attributed to workload)</t>
  </si>
  <si>
    <t xml:space="preserve">  Other cloud costs</t>
  </si>
  <si>
    <t xml:space="preserve">Total cloud Year 1 (annual)</t>
  </si>
  <si>
    <t xml:space="preserve">ON-PREMISES COSTS</t>
  </si>
  <si>
    <t xml:space="preserve">SERVER HARDWARE (one-time capex)</t>
  </si>
  <si>
    <t xml:space="preserve">  Server hardware purchase / lease (Year 1)</t>
  </si>
  <si>
    <t xml:space="preserve">  Storage hardware</t>
  </si>
  <si>
    <t xml:space="preserve">  Network hardware (switches, firewall)</t>
  </si>
  <si>
    <t xml:space="preserve">  </t>
  </si>
  <si>
    <t xml:space="preserve">RECURRING ANNUAL COSTS</t>
  </si>
  <si>
    <t xml:space="preserve">  Data centre / colocation (annual)</t>
  </si>
  <si>
    <t xml:space="preserve">  Power and cooling (annual)</t>
  </si>
  <si>
    <t xml:space="preserve">  Hardware maintenance contracts (annual)</t>
  </si>
  <si>
    <t xml:space="preserve">  Hypervisor / virtualisation licence (annual)</t>
  </si>
  <si>
    <t xml:space="preserve">  Backup solution licence (annual)</t>
  </si>
  <si>
    <t xml:space="preserve">  Monitoring and management tools (annual)</t>
  </si>
  <si>
    <t xml:space="preserve">  Security tools on-premises (annual)</t>
  </si>
  <si>
    <t xml:space="preserve">  IT staff time — incremental (annual)</t>
  </si>
  <si>
    <t xml:space="preserve">  Other on-premises costs</t>
  </si>
  <si>
    <t xml:space="preserve">3-Year Total Cost of Ownership — Cloud vs On-Premises</t>
  </si>
  <si>
    <t xml:space="preserve">Cost item</t>
  </si>
  <si>
    <t xml:space="preserve">Year 1</t>
  </si>
  <si>
    <t xml:space="preserve">Year 2</t>
  </si>
  <si>
    <t xml:space="preserve">Year 3</t>
  </si>
  <si>
    <t xml:space="preserve">3-Year Total</t>
  </si>
  <si>
    <t xml:space="preserve">OPTION A — PUBLIC CLOUD</t>
  </si>
  <si>
    <t xml:space="preserve">  Compute</t>
  </si>
  <si>
    <t xml:space="preserve">  Storage</t>
  </si>
  <si>
    <t xml:space="preserve">  Database</t>
  </si>
  <si>
    <t xml:space="preserve">  Network — egress</t>
  </si>
  <si>
    <t xml:space="preserve">  Security services</t>
  </si>
  <si>
    <t xml:space="preserve">  Backup and DR</t>
  </si>
  <si>
    <t xml:space="preserve">  SaaS licences</t>
  </si>
  <si>
    <t xml:space="preserve">TOTAL — Cloud (3-year)</t>
  </si>
  <si>
    <t xml:space="preserve">OPTION B — ON-PREMISES / PRIVATE CLOUD</t>
  </si>
  <si>
    <t xml:space="preserve">  Server hardware (capex — Year 1 only)</t>
  </si>
  <si>
    <t xml:space="preserve">  Storage hardware (capex — Year 1 only)</t>
  </si>
  <si>
    <t xml:space="preserve">  Network hardware (capex — Year 1 only)</t>
  </si>
  <si>
    <t xml:space="preserve">  Data centre / colocation</t>
  </si>
  <si>
    <t xml:space="preserve">  Power and cooling</t>
  </si>
  <si>
    <t xml:space="preserve">  Hardware maintenance</t>
  </si>
  <si>
    <t xml:space="preserve">  Hypervisor licence</t>
  </si>
  <si>
    <t xml:space="preserve">  Backup solution</t>
  </si>
  <si>
    <t xml:space="preserve">  Monitoring tools</t>
  </si>
  <si>
    <t xml:space="preserve">  Security tools</t>
  </si>
  <si>
    <t xml:space="preserve">  IT staff — incremental</t>
  </si>
  <si>
    <t xml:space="preserve">  Other on-premises</t>
  </si>
  <si>
    <t xml:space="preserve">TOTAL — On-Premises (3-year)</t>
  </si>
  <si>
    <t xml:space="preserve">COMPARISON SUMMARY</t>
  </si>
  <si>
    <t xml:space="preserve">Metric</t>
  </si>
  <si>
    <t xml:space="preserve">Cloud total cost</t>
  </si>
  <si>
    <t xml:space="preserve">On-premises total cost</t>
  </si>
  <si>
    <t xml:space="preserve">Difference (+ = cloud more expensive)</t>
  </si>
  <si>
    <t xml:space="preserve">Cloud premium (%)</t>
  </si>
  <si>
    <t xml:space="preserve">NOTE: A positive difference means cloud is more expensive over that period. This model is a starting point — customise inputs in the Assumptions sheet. Consult Module 1 for the full scored placement assessment.</t>
  </si>
  <si>
    <t xml:space="preserve">How to use this model</t>
  </si>
  <si>
    <t xml:space="preserve">Step 1 — Assumptions tab</t>
  </si>
  <si>
    <t xml:space="preserve">Enter your organisation name, workload name, and assessment date in rows 5–7.</t>
  </si>
  <si>
    <t xml:space="preserve">Adjust the annual inflation rate (default 3%) in row 9.</t>
  </si>
  <si>
    <t xml:space="preserve">Update cloud cost line items in the CLOUD COSTS section with your actual cloud bills.</t>
  </si>
  <si>
    <t xml:space="preserve">Blue cells are inputs — enter your numbers there.</t>
  </si>
  <si>
    <t xml:space="preserve">Step 2 — 3-Year TCO Model tab</t>
  </si>
  <si>
    <t xml:space="preserve">The model auto-calculates Year 2 and Year 3 using the inflation rate from Assumptions.</t>
  </si>
  <si>
    <t xml:space="preserve">Update on-premises capex and opex rows with your actual quotes and estimates.</t>
  </si>
  <si>
    <t xml:space="preserve">Year 2 and Year 3 capex items (hardware) are set to zero — hardware is a one-time cost.</t>
  </si>
  <si>
    <t xml:space="preserve">The Comparison Summary at the bottom shows the 3-year cost differential.</t>
  </si>
  <si>
    <t xml:space="preserve">Step 3 — Interpret the results</t>
  </si>
  <si>
    <t xml:space="preserve">A positive difference in the Comparison Summary means cloud is more expensive.</t>
  </si>
  <si>
    <t xml:space="preserve">This model is one of five dimensions in the Module 1 placement assessment.</t>
  </si>
  <si>
    <t xml:space="preserve">Cost alone does not determine placement — review all five dimensions before deciding.</t>
  </si>
  <si>
    <t xml:space="preserve">Document the TCO findings in the Architecture Decision Record (templates/workload-adr.md).</t>
  </si>
  <si>
    <t xml:space="preserve">Colour coding</t>
  </si>
  <si>
    <t xml:space="preserve">Blue text = input cells (change these)</t>
  </si>
  <si>
    <t xml:space="preserve">Black text = formula cells (do not edit)</t>
  </si>
  <si>
    <t xml:space="preserve">Green background = on-premises totals</t>
  </si>
  <si>
    <t xml:space="preserve">Blue background = cloud totals</t>
  </si>
  <si>
    <t xml:space="preserve">Infrastructure Placement Framework · Module 2 · 4th and Bailey · v1.0.0</t>
  </si>
  <si>
    <t xml:space="preserve">github.com/4thandBailey/infrastructure-placement-framework · 4thandbailey.com · (888) 305-5977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</si>
</sst>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929"/>
        <bgColor rgb="FF000000"/>
      </patternFill>
    </fill>
    <fill>
      <patternFill patternType="solid">
        <fgColor rgb="FF1A3A5C"/>
        <bgColor rgb="FF333333"/>
      </patternFill>
    </fill>
    <fill>
      <patternFill patternType="solid">
        <fgColor rgb="FFF2F5F9"/>
        <bgColor rgb="FFE8F0FA"/>
      </patternFill>
    </fill>
    <fill>
      <patternFill patternType="solid">
        <fgColor rgb="FFE8F0FA"/>
        <bgColor rgb="FFF2F5F9"/>
      </patternFill>
    </fill>
    <fill>
      <patternFill patternType="solid">
        <fgColor rgb="FFE8F5E9"/>
        <bgColor rgb="FFE8F0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E8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0B1929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7" t="s">
        <v>6</v>
      </c>
      <c r="C6" s="8"/>
      <c r="D6" s="8"/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6" t="s">
        <v>9</v>
      </c>
      <c r="B8" s="9" t="n">
        <v>3</v>
      </c>
      <c r="C8" s="8"/>
      <c r="D8" s="8"/>
    </row>
    <row r="9" customFormat="false" ht="15" hidden="false" customHeight="false" outlineLevel="0" collapsed="false">
      <c r="A9" s="4" t="s">
        <v>10</v>
      </c>
      <c r="B9" s="10" t="n">
        <v>0.03</v>
      </c>
    </row>
    <row r="10" customFormat="false" ht="15" hidden="false" customHeight="false" outlineLevel="0" collapsed="false">
      <c r="A10" s="6"/>
      <c r="B10" s="7"/>
      <c r="C10" s="8"/>
      <c r="D10" s="8"/>
    </row>
    <row r="11" customFormat="false" ht="15" hidden="false" customHeight="false" outlineLevel="0" collapsed="false">
      <c r="A11" s="3" t="s">
        <v>11</v>
      </c>
      <c r="B11" s="3"/>
      <c r="C11" s="3"/>
      <c r="D11" s="3"/>
    </row>
    <row r="12" customFormat="false" ht="15" hidden="false" customHeight="false" outlineLevel="0" collapsed="false">
      <c r="A12" s="6" t="s">
        <v>12</v>
      </c>
      <c r="B12" s="11" t="n">
        <v>24000</v>
      </c>
      <c r="C12" s="8"/>
      <c r="D12" s="8"/>
    </row>
    <row r="13" customFormat="false" ht="15" hidden="false" customHeight="false" outlineLevel="0" collapsed="false">
      <c r="A13" s="4" t="s">
        <v>13</v>
      </c>
      <c r="B13" s="12" t="n">
        <v>8400</v>
      </c>
    </row>
    <row r="14" customFormat="false" ht="15" hidden="false" customHeight="false" outlineLevel="0" collapsed="false">
      <c r="A14" s="6" t="s">
        <v>14</v>
      </c>
      <c r="B14" s="11" t="n">
        <v>12000</v>
      </c>
      <c r="C14" s="8"/>
      <c r="D14" s="8"/>
    </row>
    <row r="15" customFormat="false" ht="15" hidden="false" customHeight="false" outlineLevel="0" collapsed="false">
      <c r="A15" s="4" t="s">
        <v>15</v>
      </c>
      <c r="B15" s="12" t="n">
        <v>6000</v>
      </c>
    </row>
    <row r="16" customFormat="false" ht="15" hidden="false" customHeight="false" outlineLevel="0" collapsed="false">
      <c r="A16" s="6" t="s">
        <v>16</v>
      </c>
      <c r="B16" s="11" t="n">
        <v>4800</v>
      </c>
      <c r="C16" s="8"/>
      <c r="D16" s="8"/>
    </row>
    <row r="17" customFormat="false" ht="15" hidden="false" customHeight="false" outlineLevel="0" collapsed="false">
      <c r="A17" s="4" t="s">
        <v>17</v>
      </c>
      <c r="B17" s="12" t="n">
        <v>3600</v>
      </c>
    </row>
    <row r="18" customFormat="false" ht="15" hidden="false" customHeight="false" outlineLevel="0" collapsed="false">
      <c r="A18" s="6" t="s">
        <v>18</v>
      </c>
      <c r="B18" s="11" t="n">
        <v>2400</v>
      </c>
      <c r="C18" s="8"/>
      <c r="D18" s="8"/>
    </row>
    <row r="19" customFormat="false" ht="15" hidden="false" customHeight="false" outlineLevel="0" collapsed="false">
      <c r="A19" s="4" t="s">
        <v>19</v>
      </c>
      <c r="B19" s="12" t="n">
        <v>0</v>
      </c>
    </row>
    <row r="20" customFormat="false" ht="15" hidden="false" customHeight="false" outlineLevel="0" collapsed="false">
      <c r="A20" s="6" t="s">
        <v>20</v>
      </c>
      <c r="B20" s="11" t="n">
        <v>0</v>
      </c>
      <c r="C20" s="8"/>
      <c r="D20" s="8"/>
    </row>
    <row r="21" customFormat="false" ht="15" hidden="false" customHeight="false" outlineLevel="0" collapsed="false">
      <c r="A21" s="13" t="s">
        <v>21</v>
      </c>
      <c r="B21" s="14" t="n">
        <f aca="false">SUM(B12:B20)</f>
        <v>61200</v>
      </c>
    </row>
    <row r="23" customFormat="false" ht="15" hidden="false" customHeight="false" outlineLevel="0" collapsed="false">
      <c r="A23" s="3" t="s">
        <v>22</v>
      </c>
      <c r="B23" s="3"/>
      <c r="C23" s="3"/>
      <c r="D23" s="3"/>
    </row>
    <row r="24" customFormat="false" ht="15" hidden="false" customHeight="false" outlineLevel="0" collapsed="false">
      <c r="A24" s="13" t="s">
        <v>23</v>
      </c>
    </row>
    <row r="25" customFormat="false" ht="15" hidden="false" customHeight="false" outlineLevel="0" collapsed="false">
      <c r="A25" s="4" t="s">
        <v>24</v>
      </c>
      <c r="B25" s="12" t="n">
        <v>60000</v>
      </c>
    </row>
    <row r="26" customFormat="false" ht="15" hidden="false" customHeight="false" outlineLevel="0" collapsed="false">
      <c r="A26" s="6" t="s">
        <v>25</v>
      </c>
      <c r="B26" s="11" t="n">
        <v>15000</v>
      </c>
      <c r="C26" s="8"/>
      <c r="D26" s="8"/>
    </row>
    <row r="27" customFormat="false" ht="15" hidden="false" customHeight="false" outlineLevel="0" collapsed="false">
      <c r="A27" s="4" t="s">
        <v>26</v>
      </c>
      <c r="B27" s="12" t="n">
        <v>8000</v>
      </c>
    </row>
    <row r="28" customFormat="false" ht="15" hidden="false" customHeight="false" outlineLevel="0" collapsed="false">
      <c r="A28" s="6" t="s">
        <v>27</v>
      </c>
      <c r="B28" s="8"/>
      <c r="C28" s="8"/>
      <c r="D28" s="8"/>
    </row>
    <row r="29" customFormat="false" ht="15" hidden="false" customHeight="false" outlineLevel="0" collapsed="false">
      <c r="A29" s="13" t="s">
        <v>28</v>
      </c>
    </row>
    <row r="30" customFormat="false" ht="15" hidden="false" customHeight="false" outlineLevel="0" collapsed="false">
      <c r="A30" s="6" t="s">
        <v>29</v>
      </c>
      <c r="B30" s="11" t="n">
        <v>18000</v>
      </c>
      <c r="C30" s="8"/>
      <c r="D30" s="8"/>
    </row>
    <row r="31" customFormat="false" ht="15" hidden="false" customHeight="false" outlineLevel="0" collapsed="false">
      <c r="A31" s="4" t="s">
        <v>30</v>
      </c>
      <c r="B31" s="12" t="n">
        <v>6000</v>
      </c>
    </row>
    <row r="32" customFormat="false" ht="15" hidden="false" customHeight="false" outlineLevel="0" collapsed="false">
      <c r="A32" s="6" t="s">
        <v>31</v>
      </c>
      <c r="B32" s="11" t="n">
        <v>8400</v>
      </c>
      <c r="C32" s="8"/>
      <c r="D32" s="8"/>
    </row>
    <row r="33" customFormat="false" ht="15" hidden="false" customHeight="false" outlineLevel="0" collapsed="false">
      <c r="A33" s="4" t="s">
        <v>32</v>
      </c>
      <c r="B33" s="12" t="n">
        <v>6000</v>
      </c>
    </row>
    <row r="34" customFormat="false" ht="15" hidden="false" customHeight="false" outlineLevel="0" collapsed="false">
      <c r="A34" s="6" t="s">
        <v>33</v>
      </c>
      <c r="B34" s="11" t="n">
        <v>3600</v>
      </c>
      <c r="C34" s="8"/>
      <c r="D34" s="8"/>
    </row>
    <row r="35" customFormat="false" ht="15" hidden="false" customHeight="false" outlineLevel="0" collapsed="false">
      <c r="A35" s="4" t="s">
        <v>34</v>
      </c>
      <c r="B35" s="12" t="n">
        <v>2400</v>
      </c>
    </row>
    <row r="36" customFormat="false" ht="15" hidden="false" customHeight="false" outlineLevel="0" collapsed="false">
      <c r="A36" s="6" t="s">
        <v>35</v>
      </c>
      <c r="B36" s="11" t="n">
        <v>4800</v>
      </c>
      <c r="C36" s="8"/>
      <c r="D36" s="8"/>
    </row>
    <row r="37" customFormat="false" ht="15" hidden="false" customHeight="false" outlineLevel="0" collapsed="false">
      <c r="A37" s="4" t="s">
        <v>36</v>
      </c>
      <c r="B37" s="12" t="n">
        <v>24000</v>
      </c>
    </row>
    <row r="38" customFormat="false" ht="15" hidden="false" customHeight="false" outlineLevel="0" collapsed="false">
      <c r="A38" s="6" t="s">
        <v>37</v>
      </c>
      <c r="B38" s="11" t="n">
        <v>0</v>
      </c>
      <c r="C38" s="8"/>
      <c r="D38" s="8"/>
    </row>
  </sheetData>
  <mergeCells count="5">
    <mergeCell ref="A1:D1"/>
    <mergeCell ref="A2:D2"/>
    <mergeCell ref="A4:D4"/>
    <mergeCell ref="A11:D11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8"/>
  </cols>
  <sheetData>
    <row r="1" customFormat="false" ht="36" hidden="false" customHeight="true" outlineLevel="0" collapsed="false">
      <c r="A1" s="1" t="s">
        <v>38</v>
      </c>
      <c r="B1" s="1"/>
      <c r="C1" s="1"/>
      <c r="D1" s="1"/>
      <c r="E1" s="1"/>
    </row>
    <row r="3" customFormat="false" ht="15" hidden="false" customHeight="false" outlineLevel="0" collapsed="false">
      <c r="A3" s="15" t="s">
        <v>39</v>
      </c>
      <c r="B3" s="15" t="s">
        <v>40</v>
      </c>
      <c r="C3" s="15" t="s">
        <v>41</v>
      </c>
      <c r="D3" s="15" t="s">
        <v>42</v>
      </c>
      <c r="E3" s="15" t="s">
        <v>43</v>
      </c>
    </row>
    <row r="4" customFormat="false" ht="15" hidden="false" customHeight="false" outlineLevel="0" collapsed="false">
      <c r="A4" s="16" t="s">
        <v>44</v>
      </c>
      <c r="B4" s="16"/>
      <c r="C4" s="16"/>
      <c r="D4" s="16"/>
      <c r="E4" s="16"/>
    </row>
    <row r="5" customFormat="false" ht="15" hidden="false" customHeight="false" outlineLevel="0" collapsed="false">
      <c r="A5" s="4" t="s">
        <v>45</v>
      </c>
      <c r="B5" s="14" t="n">
        <f aca="false">Assumptions!B12</f>
        <v>24000</v>
      </c>
      <c r="C5" s="14" t="n">
        <f aca="false">B5*(1+Assumptions!B9)</f>
        <v>24720</v>
      </c>
      <c r="D5" s="14" t="n">
        <f aca="false">C5*(1+Assumptions!B9)</f>
        <v>25461.6</v>
      </c>
      <c r="E5" s="14" t="n">
        <f aca="false">SUM(B5:D5)</f>
        <v>74181.6</v>
      </c>
    </row>
    <row r="6" customFormat="false" ht="15" hidden="false" customHeight="false" outlineLevel="0" collapsed="false">
      <c r="A6" s="6" t="s">
        <v>46</v>
      </c>
      <c r="B6" s="17" t="n">
        <f aca="false">Assumptions!B13</f>
        <v>8400</v>
      </c>
      <c r="C6" s="17" t="n">
        <f aca="false">B6*(1+Assumptions!B9)</f>
        <v>8652</v>
      </c>
      <c r="D6" s="17" t="n">
        <f aca="false">C6*(1+Assumptions!B9)</f>
        <v>8911.56</v>
      </c>
      <c r="E6" s="17" t="n">
        <f aca="false">SUM(B6:D6)</f>
        <v>25963.56</v>
      </c>
    </row>
    <row r="7" customFormat="false" ht="15" hidden="false" customHeight="false" outlineLevel="0" collapsed="false">
      <c r="A7" s="4" t="s">
        <v>47</v>
      </c>
      <c r="B7" s="14" t="n">
        <f aca="false">Assumptions!B14</f>
        <v>12000</v>
      </c>
      <c r="C7" s="14" t="n">
        <f aca="false">B7*(1+Assumptions!B9)</f>
        <v>12360</v>
      </c>
      <c r="D7" s="14" t="n">
        <f aca="false">C7*(1+Assumptions!B9)</f>
        <v>12730.8</v>
      </c>
      <c r="E7" s="14" t="n">
        <f aca="false">SUM(B7:D7)</f>
        <v>37090.8</v>
      </c>
    </row>
    <row r="8" customFormat="false" ht="15" hidden="false" customHeight="false" outlineLevel="0" collapsed="false">
      <c r="A8" s="6" t="s">
        <v>48</v>
      </c>
      <c r="B8" s="17" t="n">
        <f aca="false">Assumptions!B15</f>
        <v>6000</v>
      </c>
      <c r="C8" s="17" t="n">
        <f aca="false">B8*(1+Assumptions!B9)</f>
        <v>6180</v>
      </c>
      <c r="D8" s="17" t="n">
        <f aca="false">C8*(1+Assumptions!B9)</f>
        <v>6365.4</v>
      </c>
      <c r="E8" s="17" t="n">
        <f aca="false">SUM(B8:D8)</f>
        <v>18545.4</v>
      </c>
    </row>
    <row r="9" customFormat="false" ht="15" hidden="false" customHeight="false" outlineLevel="0" collapsed="false">
      <c r="A9" s="4" t="s">
        <v>49</v>
      </c>
      <c r="B9" s="14" t="n">
        <f aca="false">Assumptions!B16</f>
        <v>4800</v>
      </c>
      <c r="C9" s="14" t="n">
        <f aca="false">B9*(1+Assumptions!B9)</f>
        <v>4944</v>
      </c>
      <c r="D9" s="14" t="n">
        <f aca="false">C9*(1+Assumptions!B9)</f>
        <v>5092.32</v>
      </c>
      <c r="E9" s="14" t="n">
        <f aca="false">SUM(B9:D9)</f>
        <v>14836.32</v>
      </c>
    </row>
    <row r="10" customFormat="false" ht="15" hidden="false" customHeight="false" outlineLevel="0" collapsed="false">
      <c r="A10" s="6" t="s">
        <v>50</v>
      </c>
      <c r="B10" s="17" t="n">
        <f aca="false">Assumptions!B17</f>
        <v>3600</v>
      </c>
      <c r="C10" s="17" t="n">
        <f aca="false">B10*(1+Assumptions!B9)</f>
        <v>3708</v>
      </c>
      <c r="D10" s="17" t="n">
        <f aca="false">C10*(1+Assumptions!B9)</f>
        <v>3819.24</v>
      </c>
      <c r="E10" s="17" t="n">
        <f aca="false">SUM(B10:D10)</f>
        <v>11127.24</v>
      </c>
    </row>
    <row r="11" customFormat="false" ht="15" hidden="false" customHeight="false" outlineLevel="0" collapsed="false">
      <c r="A11" s="4" t="s">
        <v>18</v>
      </c>
      <c r="B11" s="14" t="n">
        <f aca="false">Assumptions!B18</f>
        <v>2400</v>
      </c>
      <c r="C11" s="14" t="n">
        <f aca="false">B11*(1+Assumptions!B9)</f>
        <v>2472</v>
      </c>
      <c r="D11" s="14" t="n">
        <f aca="false">C11*(1+Assumptions!B9)</f>
        <v>2546.16</v>
      </c>
      <c r="E11" s="14" t="n">
        <f aca="false">SUM(B11:D11)</f>
        <v>7418.16</v>
      </c>
    </row>
    <row r="12" customFormat="false" ht="15" hidden="false" customHeight="false" outlineLevel="0" collapsed="false">
      <c r="A12" s="6" t="s">
        <v>51</v>
      </c>
      <c r="B12" s="17" t="n">
        <f aca="false">Assumptions!B19</f>
        <v>0</v>
      </c>
      <c r="C12" s="17" t="n">
        <f aca="false">B12*(1+Assumptions!B9)</f>
        <v>0</v>
      </c>
      <c r="D12" s="17" t="n">
        <f aca="false">C12*(1+Assumptions!B9)</f>
        <v>0</v>
      </c>
      <c r="E12" s="17" t="n">
        <f aca="false">SUM(B12:D12)</f>
        <v>0</v>
      </c>
    </row>
    <row r="13" customFormat="false" ht="15" hidden="false" customHeight="false" outlineLevel="0" collapsed="false">
      <c r="A13" s="4" t="s">
        <v>20</v>
      </c>
      <c r="B13" s="14" t="n">
        <f aca="false">Assumptions!B20</f>
        <v>0</v>
      </c>
      <c r="C13" s="14" t="n">
        <f aca="false">B13*(1+Assumptions!B9)</f>
        <v>0</v>
      </c>
      <c r="D13" s="14" t="n">
        <f aca="false">C13*(1+Assumptions!B9)</f>
        <v>0</v>
      </c>
      <c r="E13" s="14" t="n">
        <f aca="false">SUM(B13:D13)</f>
        <v>0</v>
      </c>
    </row>
    <row r="14" customFormat="false" ht="15" hidden="false" customHeight="false" outlineLevel="0" collapsed="false">
      <c r="A14" s="18" t="s">
        <v>52</v>
      </c>
      <c r="B14" s="19" t="n">
        <f aca="false">SUM(B5:B13)</f>
        <v>61200</v>
      </c>
      <c r="C14" s="19" t="n">
        <f aca="false">SUM(C5:C13)</f>
        <v>63036</v>
      </c>
      <c r="D14" s="19" t="n">
        <f aca="false">SUM(D5:D13)</f>
        <v>64927.08</v>
      </c>
      <c r="E14" s="19" t="n">
        <f aca="false">SUM(E5:E13)</f>
        <v>189163.08</v>
      </c>
    </row>
    <row r="16" customFormat="false" ht="15" hidden="false" customHeight="false" outlineLevel="0" collapsed="false">
      <c r="A16" s="16" t="s">
        <v>53</v>
      </c>
      <c r="B16" s="16"/>
      <c r="C16" s="16"/>
      <c r="D16" s="16"/>
      <c r="E16" s="16"/>
    </row>
    <row r="17" customFormat="false" ht="15" hidden="false" customHeight="false" outlineLevel="0" collapsed="false">
      <c r="A17" s="4" t="s">
        <v>54</v>
      </c>
      <c r="B17" s="12" t="n">
        <v>60000</v>
      </c>
      <c r="C17" s="0" t="n">
        <v>0</v>
      </c>
      <c r="D17" s="0" t="n">
        <v>0</v>
      </c>
      <c r="E17" s="14" t="n">
        <f aca="false">SUM(B17:D17)</f>
        <v>60000</v>
      </c>
    </row>
    <row r="18" customFormat="false" ht="15" hidden="false" customHeight="false" outlineLevel="0" collapsed="false">
      <c r="A18" s="6" t="s">
        <v>55</v>
      </c>
      <c r="B18" s="11" t="n">
        <v>15000</v>
      </c>
      <c r="C18" s="8" t="n">
        <v>0</v>
      </c>
      <c r="D18" s="8" t="n">
        <v>0</v>
      </c>
      <c r="E18" s="17" t="n">
        <f aca="false">SUM(B18:D18)</f>
        <v>15000</v>
      </c>
    </row>
    <row r="19" customFormat="false" ht="15" hidden="false" customHeight="false" outlineLevel="0" collapsed="false">
      <c r="A19" s="4" t="s">
        <v>56</v>
      </c>
      <c r="B19" s="12" t="n">
        <v>8000</v>
      </c>
      <c r="C19" s="0" t="n">
        <v>0</v>
      </c>
      <c r="D19" s="0" t="n">
        <v>0</v>
      </c>
      <c r="E19" s="14" t="n">
        <f aca="false">SUM(B19:D19)</f>
        <v>8000</v>
      </c>
    </row>
    <row r="20" customFormat="false" ht="15" hidden="false" customHeight="false" outlineLevel="0" collapsed="false">
      <c r="A20" s="6" t="s">
        <v>57</v>
      </c>
      <c r="B20" s="11" t="n">
        <v>18000</v>
      </c>
      <c r="C20" s="17" t="n">
        <f aca="false">B20*(1+Assumptions!B9)</f>
        <v>18540</v>
      </c>
      <c r="D20" s="17" t="n">
        <f aca="false">C20*(1+Assumptions!B9)</f>
        <v>19096.2</v>
      </c>
      <c r="E20" s="17" t="n">
        <f aca="false">SUM(B20:D20)</f>
        <v>55636.2</v>
      </c>
    </row>
    <row r="21" customFormat="false" ht="15" hidden="false" customHeight="false" outlineLevel="0" collapsed="false">
      <c r="A21" s="4" t="s">
        <v>58</v>
      </c>
      <c r="B21" s="12" t="n">
        <v>6000</v>
      </c>
      <c r="C21" s="14" t="n">
        <f aca="false">B21*(1+Assumptions!B9)</f>
        <v>6180</v>
      </c>
      <c r="D21" s="14" t="n">
        <f aca="false">C21*(1+Assumptions!B9)</f>
        <v>6365.4</v>
      </c>
      <c r="E21" s="14" t="n">
        <f aca="false">SUM(B21:D21)</f>
        <v>18545.4</v>
      </c>
    </row>
    <row r="22" customFormat="false" ht="15" hidden="false" customHeight="false" outlineLevel="0" collapsed="false">
      <c r="A22" s="6" t="s">
        <v>59</v>
      </c>
      <c r="B22" s="11" t="n">
        <v>8400</v>
      </c>
      <c r="C22" s="17" t="n">
        <f aca="false">B22*(1+Assumptions!B9)</f>
        <v>8652</v>
      </c>
      <c r="D22" s="17" t="n">
        <f aca="false">C22*(1+Assumptions!B9)</f>
        <v>8911.56</v>
      </c>
      <c r="E22" s="17" t="n">
        <f aca="false">SUM(B22:D22)</f>
        <v>25963.56</v>
      </c>
    </row>
    <row r="23" customFormat="false" ht="15" hidden="false" customHeight="false" outlineLevel="0" collapsed="false">
      <c r="A23" s="4" t="s">
        <v>60</v>
      </c>
      <c r="B23" s="12" t="n">
        <v>6000</v>
      </c>
      <c r="C23" s="14" t="n">
        <f aca="false">B23*(1+Assumptions!B9)</f>
        <v>6180</v>
      </c>
      <c r="D23" s="14" t="n">
        <f aca="false">C23*(1+Assumptions!B9)</f>
        <v>6365.4</v>
      </c>
      <c r="E23" s="14" t="n">
        <f aca="false">SUM(B23:D23)</f>
        <v>18545.4</v>
      </c>
    </row>
    <row r="24" customFormat="false" ht="15" hidden="false" customHeight="false" outlineLevel="0" collapsed="false">
      <c r="A24" s="6" t="s">
        <v>61</v>
      </c>
      <c r="B24" s="11" t="n">
        <v>3600</v>
      </c>
      <c r="C24" s="17" t="n">
        <f aca="false">B24*(1+Assumptions!B9)</f>
        <v>3708</v>
      </c>
      <c r="D24" s="17" t="n">
        <f aca="false">C24*(1+Assumptions!B9)</f>
        <v>3819.24</v>
      </c>
      <c r="E24" s="17" t="n">
        <f aca="false">SUM(B24:D24)</f>
        <v>11127.24</v>
      </c>
    </row>
    <row r="25" customFormat="false" ht="15" hidden="false" customHeight="false" outlineLevel="0" collapsed="false">
      <c r="A25" s="4" t="s">
        <v>62</v>
      </c>
      <c r="B25" s="12" t="n">
        <v>2400</v>
      </c>
      <c r="C25" s="14" t="n">
        <f aca="false">B25*(1+Assumptions!B9)</f>
        <v>2472</v>
      </c>
      <c r="D25" s="14" t="n">
        <f aca="false">C25*(1+Assumptions!B9)</f>
        <v>2546.16</v>
      </c>
      <c r="E25" s="14" t="n">
        <f aca="false">SUM(B25:D25)</f>
        <v>7418.16</v>
      </c>
    </row>
    <row r="26" customFormat="false" ht="15" hidden="false" customHeight="false" outlineLevel="0" collapsed="false">
      <c r="A26" s="6" t="s">
        <v>63</v>
      </c>
      <c r="B26" s="11" t="n">
        <v>4800</v>
      </c>
      <c r="C26" s="17" t="n">
        <f aca="false">B26*(1+Assumptions!B9)</f>
        <v>4944</v>
      </c>
      <c r="D26" s="17" t="n">
        <f aca="false">C26*(1+Assumptions!B9)</f>
        <v>5092.32</v>
      </c>
      <c r="E26" s="17" t="n">
        <f aca="false">SUM(B26:D26)</f>
        <v>14836.32</v>
      </c>
    </row>
    <row r="27" customFormat="false" ht="15" hidden="false" customHeight="false" outlineLevel="0" collapsed="false">
      <c r="A27" s="4" t="s">
        <v>64</v>
      </c>
      <c r="B27" s="12" t="n">
        <v>24000</v>
      </c>
      <c r="C27" s="14" t="n">
        <f aca="false">B27*(1+Assumptions!B9)</f>
        <v>24720</v>
      </c>
      <c r="D27" s="14" t="n">
        <f aca="false">C27*(1+Assumptions!B9)</f>
        <v>25461.6</v>
      </c>
      <c r="E27" s="14" t="n">
        <f aca="false">SUM(B27:D27)</f>
        <v>74181.6</v>
      </c>
    </row>
    <row r="28" customFormat="false" ht="15" hidden="false" customHeight="false" outlineLevel="0" collapsed="false">
      <c r="A28" s="6" t="s">
        <v>65</v>
      </c>
      <c r="B28" s="11" t="n">
        <v>0</v>
      </c>
      <c r="C28" s="17" t="n">
        <f aca="false">B28*(1+Assumptions!B9)</f>
        <v>0</v>
      </c>
      <c r="D28" s="17" t="n">
        <f aca="false">C28*(1+Assumptions!B9)</f>
        <v>0</v>
      </c>
      <c r="E28" s="17" t="n">
        <f aca="false">SUM(B28:D28)</f>
        <v>0</v>
      </c>
    </row>
    <row r="29" customFormat="false" ht="15" hidden="false" customHeight="false" outlineLevel="0" collapsed="false">
      <c r="A29" s="20" t="s">
        <v>66</v>
      </c>
      <c r="B29" s="21" t="n">
        <f aca="false">SUM(B17:B28)</f>
        <v>156200</v>
      </c>
      <c r="C29" s="21" t="n">
        <f aca="false">SUM(C17:C28)</f>
        <v>75396</v>
      </c>
      <c r="D29" s="21" t="n">
        <f aca="false">SUM(D17:D28)</f>
        <v>77657.88</v>
      </c>
      <c r="E29" s="21" t="n">
        <f aca="false">SUM(E17:E28)</f>
        <v>309253.88</v>
      </c>
    </row>
    <row r="31" customFormat="false" ht="15" hidden="false" customHeight="false" outlineLevel="0" collapsed="false">
      <c r="A31" s="22" t="s">
        <v>67</v>
      </c>
      <c r="B31" s="22"/>
      <c r="C31" s="22"/>
      <c r="D31" s="22"/>
      <c r="E31" s="22"/>
    </row>
    <row r="32" customFormat="false" ht="15" hidden="false" customHeight="false" outlineLevel="0" collapsed="false">
      <c r="A32" s="15" t="s">
        <v>68</v>
      </c>
      <c r="B32" s="15" t="s">
        <v>40</v>
      </c>
      <c r="C32" s="15" t="s">
        <v>41</v>
      </c>
      <c r="D32" s="15" t="s">
        <v>42</v>
      </c>
      <c r="E32" s="15" t="s">
        <v>43</v>
      </c>
    </row>
    <row r="33" customFormat="false" ht="15" hidden="false" customHeight="false" outlineLevel="0" collapsed="false">
      <c r="A33" s="13" t="s">
        <v>69</v>
      </c>
      <c r="B33" s="14" t="n">
        <f aca="false">B14</f>
        <v>61200</v>
      </c>
      <c r="C33" s="14" t="n">
        <f aca="false">C14</f>
        <v>63036</v>
      </c>
      <c r="D33" s="14" t="n">
        <f aca="false">D14</f>
        <v>64927.08</v>
      </c>
      <c r="E33" s="14" t="n">
        <f aca="false">E14</f>
        <v>189163.08</v>
      </c>
    </row>
    <row r="34" customFormat="false" ht="15" hidden="false" customHeight="false" outlineLevel="0" collapsed="false">
      <c r="A34" s="13" t="s">
        <v>70</v>
      </c>
      <c r="B34" s="14" t="n">
        <f aca="false">B29</f>
        <v>156200</v>
      </c>
      <c r="C34" s="14" t="n">
        <f aca="false">C29</f>
        <v>75396</v>
      </c>
      <c r="D34" s="14" t="n">
        <f aca="false">D29</f>
        <v>77657.88</v>
      </c>
      <c r="E34" s="14" t="n">
        <f aca="false">E29</f>
        <v>309253.88</v>
      </c>
    </row>
    <row r="35" customFormat="false" ht="15" hidden="false" customHeight="false" outlineLevel="0" collapsed="false">
      <c r="A35" s="13" t="s">
        <v>71</v>
      </c>
      <c r="B35" s="14" t="n">
        <f aca="false">B33-B34</f>
        <v>-95000</v>
      </c>
      <c r="C35" s="14" t="n">
        <f aca="false">C33-C34</f>
        <v>-12360</v>
      </c>
      <c r="D35" s="14" t="n">
        <f aca="false">D33-D34</f>
        <v>-12730.8</v>
      </c>
      <c r="E35" s="14" t="n">
        <f aca="false">E33-E34</f>
        <v>-120090.8</v>
      </c>
    </row>
    <row r="36" customFormat="false" ht="15" hidden="false" customHeight="false" outlineLevel="0" collapsed="false">
      <c r="A36" s="13" t="s">
        <v>72</v>
      </c>
      <c r="B36" s="23" t="n">
        <f aca="false">IF(B34=0,"-",(B33-B34)/B34)</f>
        <v>-0.608194622279129</v>
      </c>
      <c r="C36" s="23" t="n">
        <f aca="false">IF(C34=0,"-",(C33-C34)/C34)</f>
        <v>-0.163934426229508</v>
      </c>
      <c r="D36" s="23" t="n">
        <f aca="false">IF(D34=0,"-",(D33-D34)/D34)</f>
        <v>-0.163934426229508</v>
      </c>
      <c r="E36" s="23" t="n">
        <f aca="false">IF(E34=0,"-",(E33-E34)/E34)</f>
        <v>-0.388324311403951</v>
      </c>
    </row>
    <row r="38" customFormat="false" ht="36" hidden="false" customHeight="true" outlineLevel="0" collapsed="false">
      <c r="A38" s="24" t="s">
        <v>73</v>
      </c>
      <c r="B38" s="24"/>
      <c r="C38" s="24"/>
      <c r="D38" s="24"/>
      <c r="E38" s="24"/>
    </row>
  </sheetData>
  <mergeCells count="5">
    <mergeCell ref="A1:E1"/>
    <mergeCell ref="A4:E4"/>
    <mergeCell ref="A16:E16"/>
    <mergeCell ref="A31:E31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36" hidden="false" customHeight="true" outlineLevel="0" collapsed="false">
      <c r="A1" s="25" t="s">
        <v>74</v>
      </c>
    </row>
    <row r="3" customFormat="false" ht="15" hidden="false" customHeight="false" outlineLevel="0" collapsed="false">
      <c r="A3" s="26" t="s">
        <v>75</v>
      </c>
    </row>
    <row r="4" customFormat="false" ht="15" hidden="false" customHeight="false" outlineLevel="0" collapsed="false">
      <c r="A4" s="27" t="s">
        <v>76</v>
      </c>
    </row>
    <row r="5" customFormat="false" ht="15" hidden="false" customHeight="false" outlineLevel="0" collapsed="false">
      <c r="A5" s="27" t="s">
        <v>77</v>
      </c>
    </row>
    <row r="6" customFormat="false" ht="15" hidden="false" customHeight="false" outlineLevel="0" collapsed="false">
      <c r="A6" s="27" t="s">
        <v>78</v>
      </c>
    </row>
    <row r="7" customFormat="false" ht="15" hidden="false" customHeight="false" outlineLevel="0" collapsed="false">
      <c r="A7" s="27" t="s">
        <v>79</v>
      </c>
    </row>
    <row r="8" customFormat="false" ht="15" hidden="false" customHeight="false" outlineLevel="0" collapsed="false">
      <c r="A8" s="27"/>
    </row>
    <row r="9" customFormat="false" ht="15" hidden="false" customHeight="false" outlineLevel="0" collapsed="false">
      <c r="A9" s="26" t="s">
        <v>80</v>
      </c>
    </row>
    <row r="10" customFormat="false" ht="15" hidden="false" customHeight="false" outlineLevel="0" collapsed="false">
      <c r="A10" s="27" t="s">
        <v>81</v>
      </c>
    </row>
    <row r="11" customFormat="false" ht="15" hidden="false" customHeight="false" outlineLevel="0" collapsed="false">
      <c r="A11" s="27" t="s">
        <v>82</v>
      </c>
    </row>
    <row r="12" customFormat="false" ht="15" hidden="false" customHeight="false" outlineLevel="0" collapsed="false">
      <c r="A12" s="27" t="s">
        <v>83</v>
      </c>
    </row>
    <row r="13" customFormat="false" ht="15" hidden="false" customHeight="false" outlineLevel="0" collapsed="false">
      <c r="A13" s="27" t="s">
        <v>84</v>
      </c>
    </row>
    <row r="14" customFormat="false" ht="15" hidden="false" customHeight="false" outlineLevel="0" collapsed="false">
      <c r="A14" s="27"/>
    </row>
    <row r="15" customFormat="false" ht="15" hidden="false" customHeight="false" outlineLevel="0" collapsed="false">
      <c r="A15" s="26" t="s">
        <v>85</v>
      </c>
    </row>
    <row r="16" customFormat="false" ht="15" hidden="false" customHeight="false" outlineLevel="0" collapsed="false">
      <c r="A16" s="27" t="s">
        <v>86</v>
      </c>
    </row>
    <row r="17" customFormat="false" ht="15" hidden="false" customHeight="false" outlineLevel="0" collapsed="false">
      <c r="A17" s="27" t="s">
        <v>87</v>
      </c>
    </row>
    <row r="18" customFormat="false" ht="15" hidden="false" customHeight="false" outlineLevel="0" collapsed="false">
      <c r="A18" s="27" t="s">
        <v>88</v>
      </c>
    </row>
    <row r="19" customFormat="false" ht="15" hidden="false" customHeight="false" outlineLevel="0" collapsed="false">
      <c r="A19" s="27" t="s">
        <v>89</v>
      </c>
    </row>
    <row r="20" customFormat="false" ht="15" hidden="false" customHeight="false" outlineLevel="0" collapsed="false">
      <c r="A20" s="27"/>
    </row>
    <row r="21" customFormat="false" ht="15" hidden="false" customHeight="false" outlineLevel="0" collapsed="false">
      <c r="A21" s="26" t="s">
        <v>90</v>
      </c>
    </row>
    <row r="22" customFormat="false" ht="15" hidden="false" customHeight="false" outlineLevel="0" collapsed="false">
      <c r="A22" s="27" t="s">
        <v>91</v>
      </c>
    </row>
    <row r="23" customFormat="false" ht="15" hidden="false" customHeight="false" outlineLevel="0" collapsed="false">
      <c r="A23" s="27" t="s">
        <v>92</v>
      </c>
    </row>
    <row r="24" customFormat="false" ht="15" hidden="false" customHeight="false" outlineLevel="0" collapsed="false">
      <c r="A24" s="27" t="s">
        <v>93</v>
      </c>
    </row>
    <row r="25" customFormat="false" ht="15" hidden="false" customHeight="false" outlineLevel="0" collapsed="false">
      <c r="A25" s="27" t="s">
        <v>94</v>
      </c>
    </row>
    <row r="26" customFormat="false" ht="15" hidden="false" customHeight="false" outlineLevel="0" collapsed="false">
      <c r="A26" s="27"/>
    </row>
    <row r="27" customFormat="false" ht="15" hidden="false" customHeight="false" outlineLevel="0" collapsed="false">
      <c r="A27" s="27" t="s">
        <v>95</v>
      </c>
    </row>
    <row r="28" customFormat="false" ht="15" hidden="false" customHeight="false" outlineLevel="0" collapsed="false">
      <c r="A28" s="27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2026-05-15T07:46:13Z</dcterms:created>
  <dc:creator>openpyxl</dc:creator>
  <dc:description/>
  <dc:language>en-US</dc:language>
  <cp:lastModifiedBy/>
  <dcterms:modified xsi:type="dcterms:W3CDTF">2026-05-15T07:46:13Z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